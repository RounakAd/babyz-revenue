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oumi\Downloads\"/>
    </mc:Choice>
  </mc:AlternateContent>
  <xr:revisionPtr revIDLastSave="0" documentId="13_ncr:1_{E21F3F29-BE66-43D1-A259-BD2EA1AFD008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Purchases" sheetId="1" r:id="rId1"/>
    <sheet name="Sales" sheetId="2" r:id="rId2"/>
    <sheet name="Summary" sheetId="3" r:id="rId3"/>
  </sheets>
  <definedNames>
    <definedName name="_xlnm._FilterDatabase" localSheetId="1" hidden="1">Sales!$A$2:$J$19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F53" i="1"/>
  <c r="E3" i="3"/>
  <c r="L3" i="2"/>
  <c r="F60" i="1"/>
  <c r="F59" i="1"/>
  <c r="F58" i="1"/>
  <c r="F57" i="1"/>
  <c r="F56" i="1"/>
  <c r="F55" i="1"/>
  <c r="F54" i="1"/>
  <c r="F52" i="1"/>
  <c r="F51" i="1"/>
  <c r="J19" i="2"/>
  <c r="H19" i="2"/>
  <c r="J18" i="2"/>
  <c r="J17" i="2"/>
  <c r="J16" i="2"/>
  <c r="H18" i="2"/>
  <c r="H17" i="2"/>
  <c r="H16" i="2"/>
  <c r="J15" i="2"/>
  <c r="H15" i="2"/>
  <c r="J14" i="2"/>
  <c r="H14" i="2"/>
  <c r="F42" i="1"/>
  <c r="F41" i="1"/>
  <c r="F40" i="1"/>
  <c r="F39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2" i="1"/>
  <c r="F33" i="1"/>
  <c r="F34" i="1"/>
  <c r="F35" i="1"/>
  <c r="F36" i="1"/>
  <c r="F37" i="1"/>
  <c r="F38" i="1"/>
  <c r="F43" i="1"/>
  <c r="F44" i="1"/>
  <c r="F45" i="1"/>
  <c r="F46" i="1"/>
  <c r="F47" i="1"/>
  <c r="F48" i="1"/>
  <c r="F49" i="1"/>
  <c r="F50" i="1"/>
  <c r="F2" i="1"/>
  <c r="J4" i="2"/>
  <c r="H3" i="2"/>
  <c r="J3" i="2" s="1"/>
  <c r="H7" i="2"/>
  <c r="J7" i="2" s="1"/>
  <c r="H8" i="2"/>
  <c r="J8" i="2" s="1"/>
  <c r="H9" i="2"/>
  <c r="J9" i="2" s="1"/>
  <c r="H10" i="2"/>
  <c r="J10" i="2" s="1"/>
  <c r="H11" i="2"/>
  <c r="J11" i="2" s="1"/>
  <c r="H12" i="2"/>
  <c r="J12" i="2" s="1"/>
  <c r="H13" i="2"/>
  <c r="J13" i="2" s="1"/>
  <c r="J5" i="2"/>
  <c r="H6" i="2"/>
  <c r="J6" i="2" s="1"/>
  <c r="H5" i="2"/>
  <c r="G2" i="1" l="1"/>
  <c r="E2" i="3" s="1"/>
  <c r="E4" i="3" s="1"/>
</calcChain>
</file>

<file path=xl/sharedStrings.xml><?xml version="1.0" encoding="utf-8"?>
<sst xmlns="http://schemas.openxmlformats.org/spreadsheetml/2006/main" count="198" uniqueCount="108">
  <si>
    <t>Sl No.</t>
  </si>
  <si>
    <t>Date</t>
  </si>
  <si>
    <t>Item</t>
  </si>
  <si>
    <t>Qty</t>
  </si>
  <si>
    <t>Rate</t>
  </si>
  <si>
    <t>Amount</t>
  </si>
  <si>
    <t>Pre-launch</t>
  </si>
  <si>
    <t>Jalapeno</t>
  </si>
  <si>
    <t>Mix herbs seasoning</t>
  </si>
  <si>
    <t>Pizza Pasta Sauce</t>
  </si>
  <si>
    <t>Oregano Sachet</t>
  </si>
  <si>
    <t>8 in pizza</t>
  </si>
  <si>
    <t>Mozzarella</t>
  </si>
  <si>
    <t>Pizza</t>
  </si>
  <si>
    <t>Capsicum</t>
  </si>
  <si>
    <t>Corn</t>
  </si>
  <si>
    <t>Sausage</t>
  </si>
  <si>
    <t>Cheese Dressing</t>
  </si>
  <si>
    <t>Box</t>
  </si>
  <si>
    <t>Chilli Flakes Sachet</t>
  </si>
  <si>
    <t>Stand</t>
  </si>
  <si>
    <t>Cello Tape</t>
  </si>
  <si>
    <t>Bazaar Bag</t>
  </si>
  <si>
    <t>Plastic</t>
  </si>
  <si>
    <t>Pizza Cutter + Pizza Lifter + Sauce Bottle x2</t>
  </si>
  <si>
    <t>Trade License</t>
  </si>
  <si>
    <t>FSSAI</t>
  </si>
  <si>
    <t>Bread for Croco</t>
  </si>
  <si>
    <t>18/08/2026</t>
  </si>
  <si>
    <t>Bread</t>
  </si>
  <si>
    <t>Boxes</t>
  </si>
  <si>
    <t>Cheese</t>
  </si>
  <si>
    <t>Mushroom small blue pack</t>
  </si>
  <si>
    <t>Transit</t>
  </si>
  <si>
    <t>22/08/2026</t>
  </si>
  <si>
    <t>30/08/2026</t>
  </si>
  <si>
    <t>Leaflet</t>
  </si>
  <si>
    <t>Pizza Sending Anindya</t>
  </si>
  <si>
    <t>31/08/2026</t>
  </si>
  <si>
    <t>Tissue</t>
  </si>
  <si>
    <t>Metric</t>
  </si>
  <si>
    <t>Itemized purchases/investments</t>
  </si>
  <si>
    <t>User stated total investment till 30/08/2026</t>
  </si>
  <si>
    <t>31/08/2026 investment</t>
  </si>
  <si>
    <t>Cumulative investment based on itemized entries</t>
  </si>
  <si>
    <t>User stated total income</t>
  </si>
  <si>
    <t>Sales reconstructed from listed sales</t>
  </si>
  <si>
    <t>User stated total loss</t>
  </si>
  <si>
    <t>Purchase reconciliation difference vs stated 30/08 total</t>
  </si>
  <si>
    <t>Offer (yes/no)</t>
  </si>
  <si>
    <t>yes</t>
  </si>
  <si>
    <t>Offer amount</t>
  </si>
  <si>
    <t>Final amount</t>
  </si>
  <si>
    <t>no</t>
  </si>
  <si>
    <t xml:space="preserve"> no</t>
  </si>
  <si>
    <t>Red paprika</t>
  </si>
  <si>
    <t>Rapido Delivery to Influencer</t>
  </si>
  <si>
    <t>Joyjit Influencer</t>
  </si>
  <si>
    <t>Butter(Local market)</t>
  </si>
  <si>
    <t>Coke(Local Market)</t>
  </si>
  <si>
    <t>Butter(Local Market)</t>
  </si>
  <si>
    <t>Bread(Zepto)</t>
  </si>
  <si>
    <t>Olives</t>
  </si>
  <si>
    <t>Pepperoni</t>
  </si>
  <si>
    <t>Offline</t>
  </si>
  <si>
    <t>Swiggy</t>
  </si>
  <si>
    <t>Customer</t>
  </si>
  <si>
    <t>Item bought</t>
  </si>
  <si>
    <t>Croco</t>
  </si>
  <si>
    <t xml:space="preserve"> Sausage Pizza</t>
  </si>
  <si>
    <t>Penguin</t>
  </si>
  <si>
    <t xml:space="preserve"> Fiery veg pizza</t>
  </si>
  <si>
    <t xml:space="preserve">Penguin </t>
  </si>
  <si>
    <t>Fiery Veg Pizza</t>
  </si>
  <si>
    <t>Margherita Pizza</t>
  </si>
  <si>
    <t>3rd floor KTM- Aritra Das</t>
  </si>
  <si>
    <t>Chicken Sausage</t>
  </si>
  <si>
    <t>3rd floor KTM - Aritra Das</t>
  </si>
  <si>
    <t>4th floor KTM- Aritra Das</t>
  </si>
  <si>
    <t>5th floor KTM- Aritra Das</t>
  </si>
  <si>
    <t xml:space="preserve">Gulu </t>
  </si>
  <si>
    <t xml:space="preserve">Pepperoni </t>
  </si>
  <si>
    <t xml:space="preserve">Local </t>
  </si>
  <si>
    <t>Countryside Veggies</t>
  </si>
  <si>
    <t>Local  Offer</t>
  </si>
  <si>
    <t>Rounak's mom Aunty</t>
  </si>
  <si>
    <t>Mech Foodie Influencer</t>
  </si>
  <si>
    <t>All rounder combo-(Pepperoni+Countryside veggies)</t>
  </si>
  <si>
    <t>We paid</t>
  </si>
  <si>
    <t>Sarika Kaki</t>
  </si>
  <si>
    <t>Random</t>
  </si>
  <si>
    <t>Chicken sausage Pizza</t>
  </si>
  <si>
    <t>Sarika Kaki's friend (Fiona)</t>
  </si>
  <si>
    <t>r</t>
  </si>
  <si>
    <t>Mexican sausage supreme</t>
  </si>
  <si>
    <t>Akash Singh Rounak's friend</t>
  </si>
  <si>
    <t>Ultimate cheese combo(Margherita+Sausage instead of Margherita + Corn)</t>
  </si>
  <si>
    <t>Ultimate meat pizza combo(Pepperoni+ sausage) +Mexican sausage supreme</t>
  </si>
  <si>
    <t>random</t>
  </si>
  <si>
    <t>Amount received from Swiggy</t>
  </si>
  <si>
    <t>Receiving date</t>
  </si>
  <si>
    <t>Bread from blinkit</t>
  </si>
  <si>
    <t>Frozen Corn (Blinkit)</t>
  </si>
  <si>
    <t>Sum Total</t>
  </si>
  <si>
    <t>Total outflow</t>
  </si>
  <si>
    <t>Total inflow</t>
  </si>
  <si>
    <t>Net Profit</t>
  </si>
  <si>
    <t>Banner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</si>
</sst>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14" fontId="2" fillId="0" borderId="0" xfId="0" applyNumberFormat="1" applyFont="1"/>
    <xf numFmtId="0" fontId="4" fillId="0" borderId="0" xfId="0" applyFont="1"/>
    <xf numFmtId="0" fontId="1" fillId="0" borderId="2" xfId="0" applyFont="1" applyBorder="1" applyAlignment="1">
      <alignment horizontal="left" vertical="top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workbookViewId="0">
      <pane ySplit="1" topLeftCell="A2" activePane="bottomLeft" state="frozen"/>
      <selection pane="bottomLeft" activeCell="A29" sqref="A29:A60"/>
    </sheetView>
  </sheetViews>
  <sheetFormatPr defaultRowHeight="14.5" x14ac:dyDescent="0.35"/>
  <cols>
    <col min="1" max="1" width="8" customWidth="1"/>
    <col min="2" max="2" width="12" customWidth="1"/>
    <col min="3" max="3" width="45" customWidth="1"/>
    <col min="4" max="4" width="8" customWidth="1"/>
    <col min="5" max="5" width="8.81640625" bestFit="1" customWidth="1"/>
    <col min="6" max="6" width="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" t="s">
        <v>103</v>
      </c>
    </row>
    <row r="2" spans="1:7" x14ac:dyDescent="0.35">
      <c r="A2">
        <v>1</v>
      </c>
      <c r="B2" s="3">
        <v>46236</v>
      </c>
      <c r="C2" s="3" t="s">
        <v>55</v>
      </c>
      <c r="D2">
        <v>1</v>
      </c>
      <c r="E2" s="2">
        <v>130</v>
      </c>
      <c r="F2">
        <f>D2*E2</f>
        <v>130</v>
      </c>
      <c r="G2">
        <f>SUM(F2:F1048576)</f>
        <v>9651</v>
      </c>
    </row>
    <row r="3" spans="1:7" x14ac:dyDescent="0.35">
      <c r="A3">
        <v>2</v>
      </c>
      <c r="B3" s="3">
        <v>46236</v>
      </c>
      <c r="C3" t="s">
        <v>7</v>
      </c>
      <c r="D3">
        <v>1</v>
      </c>
      <c r="E3" s="2">
        <v>95</v>
      </c>
      <c r="F3">
        <f t="shared" ref="F3:F60" si="0">D3*E3</f>
        <v>95</v>
      </c>
    </row>
    <row r="4" spans="1:7" x14ac:dyDescent="0.35">
      <c r="A4">
        <v>3</v>
      </c>
      <c r="B4" s="3">
        <v>46236</v>
      </c>
      <c r="C4" t="s">
        <v>8</v>
      </c>
      <c r="D4">
        <v>1</v>
      </c>
      <c r="E4" s="2">
        <v>180</v>
      </c>
      <c r="F4">
        <f t="shared" si="0"/>
        <v>180</v>
      </c>
    </row>
    <row r="5" spans="1:7" x14ac:dyDescent="0.35">
      <c r="A5">
        <v>4</v>
      </c>
      <c r="B5" s="3">
        <v>46236</v>
      </c>
      <c r="C5" t="s">
        <v>9</v>
      </c>
      <c r="D5">
        <v>1</v>
      </c>
      <c r="E5" s="2">
        <v>135</v>
      </c>
      <c r="F5">
        <f t="shared" si="0"/>
        <v>135</v>
      </c>
    </row>
    <row r="6" spans="1:7" x14ac:dyDescent="0.35">
      <c r="A6">
        <v>5</v>
      </c>
      <c r="B6" s="3">
        <v>46236</v>
      </c>
      <c r="C6" t="s">
        <v>10</v>
      </c>
      <c r="D6">
        <v>1</v>
      </c>
      <c r="E6" s="2">
        <v>90</v>
      </c>
      <c r="F6">
        <f t="shared" si="0"/>
        <v>90</v>
      </c>
    </row>
    <row r="7" spans="1:7" x14ac:dyDescent="0.35">
      <c r="A7">
        <v>6</v>
      </c>
      <c r="B7" s="3">
        <v>46236</v>
      </c>
      <c r="C7" t="s">
        <v>11</v>
      </c>
      <c r="D7">
        <v>1</v>
      </c>
      <c r="E7" s="2">
        <v>55</v>
      </c>
      <c r="F7">
        <f t="shared" si="0"/>
        <v>55</v>
      </c>
    </row>
    <row r="8" spans="1:7" x14ac:dyDescent="0.35">
      <c r="A8">
        <v>7</v>
      </c>
      <c r="B8" s="3">
        <v>46236</v>
      </c>
      <c r="C8" t="s">
        <v>12</v>
      </c>
      <c r="D8">
        <v>1</v>
      </c>
      <c r="E8" s="2">
        <v>400</v>
      </c>
      <c r="F8">
        <f t="shared" si="0"/>
        <v>400</v>
      </c>
    </row>
    <row r="9" spans="1:7" x14ac:dyDescent="0.35">
      <c r="A9">
        <v>8</v>
      </c>
      <c r="B9" s="3">
        <v>46235</v>
      </c>
      <c r="C9" t="s">
        <v>13</v>
      </c>
      <c r="D9">
        <v>2</v>
      </c>
      <c r="E9" s="2">
        <v>55</v>
      </c>
      <c r="F9">
        <f t="shared" si="0"/>
        <v>110</v>
      </c>
    </row>
    <row r="10" spans="1:7" x14ac:dyDescent="0.35">
      <c r="A10">
        <v>9</v>
      </c>
      <c r="B10" s="3">
        <v>46235</v>
      </c>
      <c r="C10" t="s">
        <v>14</v>
      </c>
      <c r="D10">
        <v>1</v>
      </c>
      <c r="E10" s="2">
        <v>50</v>
      </c>
      <c r="F10">
        <f t="shared" si="0"/>
        <v>50</v>
      </c>
    </row>
    <row r="11" spans="1:7" x14ac:dyDescent="0.35">
      <c r="A11">
        <v>10</v>
      </c>
      <c r="B11" s="3">
        <v>46235</v>
      </c>
      <c r="C11" t="s">
        <v>15</v>
      </c>
      <c r="D11">
        <v>1</v>
      </c>
      <c r="E11" s="2">
        <v>30</v>
      </c>
      <c r="F11">
        <f t="shared" si="0"/>
        <v>30</v>
      </c>
    </row>
    <row r="12" spans="1:7" x14ac:dyDescent="0.35">
      <c r="A12">
        <v>11</v>
      </c>
      <c r="B12" s="3">
        <v>46235</v>
      </c>
      <c r="C12" t="s">
        <v>16</v>
      </c>
      <c r="D12">
        <v>1</v>
      </c>
      <c r="E12" s="2">
        <v>200</v>
      </c>
      <c r="F12">
        <f t="shared" si="0"/>
        <v>200</v>
      </c>
    </row>
    <row r="13" spans="1:7" x14ac:dyDescent="0.35">
      <c r="A13">
        <v>12</v>
      </c>
      <c r="B13" s="3">
        <v>46235</v>
      </c>
      <c r="C13" t="s">
        <v>17</v>
      </c>
      <c r="D13">
        <v>1</v>
      </c>
      <c r="E13" s="2">
        <v>160</v>
      </c>
      <c r="F13">
        <f t="shared" si="0"/>
        <v>160</v>
      </c>
    </row>
    <row r="14" spans="1:7" x14ac:dyDescent="0.35">
      <c r="A14">
        <v>13</v>
      </c>
      <c r="B14" s="3">
        <v>46235</v>
      </c>
      <c r="C14" t="s">
        <v>18</v>
      </c>
      <c r="D14">
        <v>10</v>
      </c>
      <c r="E14" s="2">
        <v>4.5</v>
      </c>
      <c r="F14">
        <f t="shared" si="0"/>
        <v>45</v>
      </c>
    </row>
    <row r="15" spans="1:7" x14ac:dyDescent="0.35">
      <c r="A15">
        <v>14</v>
      </c>
      <c r="B15" s="3">
        <v>46236</v>
      </c>
      <c r="C15" t="s">
        <v>19</v>
      </c>
      <c r="D15">
        <v>1</v>
      </c>
      <c r="E15" s="2">
        <v>90</v>
      </c>
      <c r="F15">
        <f t="shared" si="0"/>
        <v>90</v>
      </c>
    </row>
    <row r="16" spans="1:7" x14ac:dyDescent="0.35">
      <c r="A16">
        <v>15</v>
      </c>
      <c r="B16" s="3">
        <v>46236</v>
      </c>
      <c r="C16" t="s">
        <v>20</v>
      </c>
      <c r="D16">
        <v>1</v>
      </c>
      <c r="E16" s="2">
        <v>150</v>
      </c>
      <c r="F16">
        <f t="shared" si="0"/>
        <v>150</v>
      </c>
    </row>
    <row r="17" spans="1:6" x14ac:dyDescent="0.35">
      <c r="A17">
        <v>16</v>
      </c>
      <c r="B17" s="3">
        <v>46236</v>
      </c>
      <c r="C17" t="s">
        <v>21</v>
      </c>
      <c r="D17">
        <v>1</v>
      </c>
      <c r="E17" s="2">
        <v>40</v>
      </c>
      <c r="F17">
        <f t="shared" si="0"/>
        <v>40</v>
      </c>
    </row>
    <row r="18" spans="1:6" x14ac:dyDescent="0.35">
      <c r="A18">
        <v>17</v>
      </c>
      <c r="B18" s="3">
        <v>46236</v>
      </c>
      <c r="C18" t="s">
        <v>22</v>
      </c>
      <c r="D18">
        <v>1</v>
      </c>
      <c r="E18" s="2">
        <v>100</v>
      </c>
      <c r="F18">
        <f t="shared" si="0"/>
        <v>100</v>
      </c>
    </row>
    <row r="19" spans="1:6" x14ac:dyDescent="0.35">
      <c r="A19">
        <v>18</v>
      </c>
      <c r="B19" s="3">
        <v>46236</v>
      </c>
      <c r="C19" t="s">
        <v>23</v>
      </c>
      <c r="D19">
        <v>1</v>
      </c>
      <c r="E19" s="2">
        <v>80</v>
      </c>
      <c r="F19">
        <f t="shared" si="0"/>
        <v>80</v>
      </c>
    </row>
    <row r="20" spans="1:6" x14ac:dyDescent="0.35">
      <c r="A20">
        <v>19</v>
      </c>
      <c r="B20" s="3">
        <v>46236</v>
      </c>
      <c r="C20" t="s">
        <v>24</v>
      </c>
      <c r="D20">
        <v>1</v>
      </c>
      <c r="E20" s="2">
        <v>510</v>
      </c>
      <c r="F20">
        <f t="shared" si="0"/>
        <v>510</v>
      </c>
    </row>
    <row r="21" spans="1:6" x14ac:dyDescent="0.35">
      <c r="A21">
        <v>20</v>
      </c>
      <c r="B21" t="s">
        <v>6</v>
      </c>
      <c r="C21" t="s">
        <v>25</v>
      </c>
      <c r="D21">
        <v>1</v>
      </c>
      <c r="E21" s="2">
        <v>1600</v>
      </c>
      <c r="F21">
        <f t="shared" si="0"/>
        <v>1600</v>
      </c>
    </row>
    <row r="22" spans="1:6" x14ac:dyDescent="0.35">
      <c r="A22">
        <v>21</v>
      </c>
      <c r="B22" t="s">
        <v>6</v>
      </c>
      <c r="C22" t="s">
        <v>26</v>
      </c>
      <c r="D22">
        <v>1</v>
      </c>
      <c r="E22" s="2">
        <v>100</v>
      </c>
      <c r="F22">
        <f t="shared" si="0"/>
        <v>100</v>
      </c>
    </row>
    <row r="23" spans="1:6" x14ac:dyDescent="0.35">
      <c r="A23">
        <v>22</v>
      </c>
      <c r="B23" s="3">
        <v>46248</v>
      </c>
      <c r="C23" t="s">
        <v>27</v>
      </c>
      <c r="D23">
        <v>1</v>
      </c>
      <c r="E23" s="2">
        <v>40</v>
      </c>
      <c r="F23">
        <f t="shared" si="0"/>
        <v>40</v>
      </c>
    </row>
    <row r="24" spans="1:6" x14ac:dyDescent="0.35">
      <c r="A24">
        <v>23</v>
      </c>
      <c r="B24" t="s">
        <v>28</v>
      </c>
      <c r="C24" t="s">
        <v>29</v>
      </c>
      <c r="D24">
        <v>2</v>
      </c>
      <c r="E24" s="2">
        <v>50</v>
      </c>
      <c r="F24">
        <f t="shared" si="0"/>
        <v>100</v>
      </c>
    </row>
    <row r="25" spans="1:6" x14ac:dyDescent="0.35">
      <c r="A25">
        <v>24</v>
      </c>
      <c r="B25" t="s">
        <v>28</v>
      </c>
      <c r="C25" t="s">
        <v>30</v>
      </c>
      <c r="D25">
        <v>20</v>
      </c>
      <c r="E25" s="2">
        <v>3.5</v>
      </c>
      <c r="F25">
        <f t="shared" si="0"/>
        <v>70</v>
      </c>
    </row>
    <row r="26" spans="1:6" x14ac:dyDescent="0.35">
      <c r="A26">
        <v>25</v>
      </c>
      <c r="B26" t="s">
        <v>28</v>
      </c>
      <c r="C26" t="s">
        <v>14</v>
      </c>
      <c r="D26">
        <v>1</v>
      </c>
      <c r="E26" s="2">
        <v>70</v>
      </c>
      <c r="F26">
        <f t="shared" si="0"/>
        <v>70</v>
      </c>
    </row>
    <row r="27" spans="1:6" x14ac:dyDescent="0.35">
      <c r="A27">
        <v>26</v>
      </c>
      <c r="B27" t="s">
        <v>28</v>
      </c>
      <c r="C27" t="s">
        <v>15</v>
      </c>
      <c r="D27">
        <v>1</v>
      </c>
      <c r="E27" s="2">
        <v>50</v>
      </c>
      <c r="F27">
        <f t="shared" si="0"/>
        <v>50</v>
      </c>
    </row>
    <row r="28" spans="1:6" x14ac:dyDescent="0.35">
      <c r="A28">
        <v>27</v>
      </c>
      <c r="B28" t="s">
        <v>28</v>
      </c>
      <c r="C28" t="s">
        <v>31</v>
      </c>
      <c r="D28">
        <v>1</v>
      </c>
      <c r="E28" s="2">
        <v>400</v>
      </c>
      <c r="F28">
        <f t="shared" si="0"/>
        <v>400</v>
      </c>
    </row>
    <row r="29" spans="1:6" x14ac:dyDescent="0.35">
      <c r="A29">
        <v>28</v>
      </c>
      <c r="B29" t="s">
        <v>28</v>
      </c>
      <c r="C29" t="s">
        <v>32</v>
      </c>
      <c r="D29">
        <v>1</v>
      </c>
      <c r="E29" s="2">
        <v>45</v>
      </c>
      <c r="F29">
        <f t="shared" si="0"/>
        <v>45</v>
      </c>
    </row>
    <row r="30" spans="1:6" x14ac:dyDescent="0.35">
      <c r="A30">
        <v>29</v>
      </c>
      <c r="B30" t="s">
        <v>28</v>
      </c>
      <c r="C30" t="s">
        <v>33</v>
      </c>
      <c r="D30">
        <v>1</v>
      </c>
      <c r="E30" s="2">
        <v>62</v>
      </c>
      <c r="F30">
        <f t="shared" si="0"/>
        <v>62</v>
      </c>
    </row>
    <row r="31" spans="1:6" x14ac:dyDescent="0.35">
      <c r="A31">
        <v>30</v>
      </c>
      <c r="B31" s="3">
        <v>46254</v>
      </c>
      <c r="C31" t="s">
        <v>36</v>
      </c>
      <c r="D31">
        <v>2.5</v>
      </c>
      <c r="E31" s="2">
        <v>100</v>
      </c>
      <c r="F31">
        <f t="shared" si="0"/>
        <v>250</v>
      </c>
    </row>
    <row r="32" spans="1:6" x14ac:dyDescent="0.35">
      <c r="A32">
        <v>31</v>
      </c>
      <c r="B32" t="s">
        <v>34</v>
      </c>
      <c r="C32" t="s">
        <v>56</v>
      </c>
      <c r="D32">
        <v>1</v>
      </c>
      <c r="E32" s="2">
        <v>103</v>
      </c>
      <c r="F32">
        <f t="shared" si="0"/>
        <v>103</v>
      </c>
    </row>
    <row r="33" spans="1:6" x14ac:dyDescent="0.35">
      <c r="A33">
        <v>32</v>
      </c>
      <c r="B33" t="s">
        <v>34</v>
      </c>
      <c r="C33" t="s">
        <v>57</v>
      </c>
      <c r="D33">
        <v>1</v>
      </c>
      <c r="E33" s="2">
        <v>500</v>
      </c>
      <c r="F33">
        <f t="shared" si="0"/>
        <v>500</v>
      </c>
    </row>
    <row r="34" spans="1:6" x14ac:dyDescent="0.35">
      <c r="A34">
        <v>33</v>
      </c>
      <c r="B34" t="s">
        <v>34</v>
      </c>
      <c r="C34" t="s">
        <v>58</v>
      </c>
      <c r="D34">
        <v>1</v>
      </c>
      <c r="E34" s="2">
        <v>8</v>
      </c>
      <c r="F34">
        <f t="shared" si="0"/>
        <v>8</v>
      </c>
    </row>
    <row r="35" spans="1:6" x14ac:dyDescent="0.35">
      <c r="A35">
        <v>34</v>
      </c>
      <c r="B35" t="s">
        <v>34</v>
      </c>
      <c r="C35" t="s">
        <v>59</v>
      </c>
      <c r="D35">
        <v>1</v>
      </c>
      <c r="E35" s="2">
        <v>40</v>
      </c>
      <c r="F35">
        <f t="shared" si="0"/>
        <v>40</v>
      </c>
    </row>
    <row r="36" spans="1:6" x14ac:dyDescent="0.35">
      <c r="A36">
        <v>35</v>
      </c>
      <c r="B36" t="s">
        <v>34</v>
      </c>
      <c r="C36" t="s">
        <v>60</v>
      </c>
      <c r="D36">
        <v>1</v>
      </c>
      <c r="E36" s="2">
        <v>8</v>
      </c>
      <c r="F36">
        <f t="shared" si="0"/>
        <v>8</v>
      </c>
    </row>
    <row r="37" spans="1:6" x14ac:dyDescent="0.35">
      <c r="A37">
        <v>36</v>
      </c>
      <c r="B37" t="s">
        <v>34</v>
      </c>
      <c r="C37" t="s">
        <v>61</v>
      </c>
      <c r="D37">
        <v>1</v>
      </c>
      <c r="E37" s="2">
        <v>64</v>
      </c>
      <c r="F37">
        <f t="shared" si="0"/>
        <v>64</v>
      </c>
    </row>
    <row r="38" spans="1:6" x14ac:dyDescent="0.35">
      <c r="A38">
        <v>37</v>
      </c>
      <c r="B38" s="3">
        <v>46256</v>
      </c>
      <c r="C38" t="s">
        <v>62</v>
      </c>
      <c r="D38">
        <v>1</v>
      </c>
      <c r="E38" s="2">
        <v>150</v>
      </c>
      <c r="F38">
        <f t="shared" si="0"/>
        <v>150</v>
      </c>
    </row>
    <row r="39" spans="1:6" x14ac:dyDescent="0.35">
      <c r="A39">
        <v>38</v>
      </c>
      <c r="B39" s="3">
        <v>46256</v>
      </c>
      <c r="C39" t="s">
        <v>29</v>
      </c>
      <c r="D39">
        <v>3</v>
      </c>
      <c r="E39" s="2">
        <v>50</v>
      </c>
      <c r="F39">
        <f t="shared" si="0"/>
        <v>150</v>
      </c>
    </row>
    <row r="40" spans="1:6" x14ac:dyDescent="0.35">
      <c r="A40">
        <v>39</v>
      </c>
      <c r="B40" s="3">
        <v>46256</v>
      </c>
      <c r="C40" t="s">
        <v>9</v>
      </c>
      <c r="D40">
        <v>1</v>
      </c>
      <c r="E40" s="2">
        <v>135</v>
      </c>
      <c r="F40">
        <f t="shared" si="0"/>
        <v>135</v>
      </c>
    </row>
    <row r="41" spans="1:6" x14ac:dyDescent="0.35">
      <c r="A41">
        <v>40</v>
      </c>
      <c r="B41" s="3">
        <v>46256</v>
      </c>
      <c r="C41" t="s">
        <v>17</v>
      </c>
      <c r="D41">
        <v>1</v>
      </c>
      <c r="E41" s="2">
        <v>160</v>
      </c>
      <c r="F41">
        <f t="shared" si="0"/>
        <v>160</v>
      </c>
    </row>
    <row r="42" spans="1:6" x14ac:dyDescent="0.35">
      <c r="A42">
        <v>41</v>
      </c>
      <c r="B42" s="3">
        <v>46256</v>
      </c>
      <c r="C42" t="s">
        <v>63</v>
      </c>
      <c r="D42">
        <v>1</v>
      </c>
      <c r="E42" s="2">
        <v>520</v>
      </c>
      <c r="F42">
        <f t="shared" si="0"/>
        <v>520</v>
      </c>
    </row>
    <row r="43" spans="1:6" x14ac:dyDescent="0.35">
      <c r="A43">
        <v>42</v>
      </c>
      <c r="B43" t="s">
        <v>35</v>
      </c>
      <c r="C43" t="s">
        <v>36</v>
      </c>
      <c r="D43">
        <v>1</v>
      </c>
      <c r="E43" s="2">
        <v>200</v>
      </c>
      <c r="F43">
        <f t="shared" si="0"/>
        <v>200</v>
      </c>
    </row>
    <row r="44" spans="1:6" x14ac:dyDescent="0.35">
      <c r="A44">
        <v>43</v>
      </c>
      <c r="B44" t="s">
        <v>35</v>
      </c>
      <c r="C44" t="s">
        <v>37</v>
      </c>
      <c r="D44">
        <v>1</v>
      </c>
      <c r="E44" s="2">
        <v>233</v>
      </c>
      <c r="F44">
        <f t="shared" si="0"/>
        <v>233</v>
      </c>
    </row>
    <row r="45" spans="1:6" x14ac:dyDescent="0.35">
      <c r="A45">
        <v>44</v>
      </c>
      <c r="B45" t="s">
        <v>38</v>
      </c>
      <c r="C45" t="s">
        <v>29</v>
      </c>
      <c r="D45">
        <v>1</v>
      </c>
      <c r="E45" s="2">
        <v>50</v>
      </c>
      <c r="F45">
        <f t="shared" si="0"/>
        <v>50</v>
      </c>
    </row>
    <row r="46" spans="1:6" x14ac:dyDescent="0.35">
      <c r="A46">
        <v>45</v>
      </c>
      <c r="B46" t="s">
        <v>38</v>
      </c>
      <c r="C46" t="s">
        <v>31</v>
      </c>
      <c r="D46">
        <v>1</v>
      </c>
      <c r="E46" s="2">
        <v>400</v>
      </c>
      <c r="F46">
        <f t="shared" si="0"/>
        <v>400</v>
      </c>
    </row>
    <row r="47" spans="1:6" x14ac:dyDescent="0.35">
      <c r="A47">
        <v>46</v>
      </c>
      <c r="B47" t="s">
        <v>38</v>
      </c>
      <c r="C47" t="s">
        <v>14</v>
      </c>
      <c r="D47">
        <v>1</v>
      </c>
      <c r="E47" s="2">
        <v>60</v>
      </c>
      <c r="F47">
        <f t="shared" si="0"/>
        <v>60</v>
      </c>
    </row>
    <row r="48" spans="1:6" x14ac:dyDescent="0.35">
      <c r="A48">
        <v>47</v>
      </c>
      <c r="B48" t="s">
        <v>38</v>
      </c>
      <c r="C48" t="s">
        <v>30</v>
      </c>
      <c r="D48">
        <v>1</v>
      </c>
      <c r="E48" s="2">
        <v>105</v>
      </c>
      <c r="F48">
        <f t="shared" si="0"/>
        <v>105</v>
      </c>
    </row>
    <row r="49" spans="1:6" x14ac:dyDescent="0.35">
      <c r="A49">
        <v>48</v>
      </c>
      <c r="B49" t="s">
        <v>38</v>
      </c>
      <c r="C49" t="s">
        <v>39</v>
      </c>
      <c r="D49">
        <v>1</v>
      </c>
      <c r="E49" s="2">
        <v>25</v>
      </c>
      <c r="F49">
        <f t="shared" si="0"/>
        <v>25</v>
      </c>
    </row>
    <row r="50" spans="1:6" x14ac:dyDescent="0.35">
      <c r="A50">
        <v>49</v>
      </c>
      <c r="B50" t="s">
        <v>38</v>
      </c>
      <c r="C50" t="s">
        <v>33</v>
      </c>
      <c r="D50">
        <v>1</v>
      </c>
      <c r="E50" s="2">
        <v>62</v>
      </c>
      <c r="F50">
        <f t="shared" si="0"/>
        <v>62</v>
      </c>
    </row>
    <row r="51" spans="1:6" x14ac:dyDescent="0.35">
      <c r="A51">
        <v>50</v>
      </c>
      <c r="B51" s="3">
        <v>46272</v>
      </c>
      <c r="C51" t="s">
        <v>101</v>
      </c>
      <c r="D51">
        <v>3</v>
      </c>
      <c r="E51" s="2">
        <v>40</v>
      </c>
      <c r="F51">
        <f t="shared" si="0"/>
        <v>120</v>
      </c>
    </row>
    <row r="52" spans="1:6" x14ac:dyDescent="0.35">
      <c r="A52">
        <v>51</v>
      </c>
      <c r="B52" s="3">
        <v>46272</v>
      </c>
      <c r="C52" t="s">
        <v>101</v>
      </c>
      <c r="D52">
        <v>2</v>
      </c>
      <c r="E52" s="2">
        <v>36</v>
      </c>
      <c r="F52">
        <f t="shared" si="0"/>
        <v>72</v>
      </c>
    </row>
    <row r="53" spans="1:6" x14ac:dyDescent="0.35">
      <c r="A53">
        <v>52</v>
      </c>
      <c r="B53" s="3">
        <v>46273</v>
      </c>
      <c r="C53" t="s">
        <v>107</v>
      </c>
      <c r="D53">
        <v>5</v>
      </c>
      <c r="E53" s="2">
        <v>50</v>
      </c>
      <c r="F53">
        <f t="shared" si="0"/>
        <v>250</v>
      </c>
    </row>
    <row r="54" spans="1:6" x14ac:dyDescent="0.35">
      <c r="A54">
        <v>53</v>
      </c>
      <c r="B54" s="3">
        <v>46283</v>
      </c>
      <c r="C54" t="s">
        <v>101</v>
      </c>
      <c r="D54">
        <v>2</v>
      </c>
      <c r="E54" s="2">
        <v>40</v>
      </c>
      <c r="F54">
        <f t="shared" si="0"/>
        <v>80</v>
      </c>
    </row>
    <row r="55" spans="1:6" x14ac:dyDescent="0.35">
      <c r="A55">
        <v>54</v>
      </c>
      <c r="B55" s="3">
        <v>46283</v>
      </c>
      <c r="C55" t="s">
        <v>102</v>
      </c>
      <c r="D55">
        <v>1</v>
      </c>
      <c r="E55" s="2">
        <v>99</v>
      </c>
      <c r="F55">
        <f t="shared" si="0"/>
        <v>99</v>
      </c>
    </row>
    <row r="56" spans="1:6" x14ac:dyDescent="0.35">
      <c r="A56">
        <v>55</v>
      </c>
      <c r="B56" s="3">
        <v>46284</v>
      </c>
      <c r="C56" t="s">
        <v>29</v>
      </c>
      <c r="D56">
        <v>1</v>
      </c>
      <c r="E56" s="2">
        <v>50</v>
      </c>
      <c r="F56">
        <f t="shared" si="0"/>
        <v>50</v>
      </c>
    </row>
    <row r="57" spans="1:6" x14ac:dyDescent="0.35">
      <c r="A57">
        <v>56</v>
      </c>
      <c r="B57" s="3">
        <v>46284</v>
      </c>
      <c r="C57" t="s">
        <v>31</v>
      </c>
      <c r="D57">
        <v>1</v>
      </c>
      <c r="E57" s="2">
        <v>400</v>
      </c>
      <c r="F57">
        <f t="shared" si="0"/>
        <v>400</v>
      </c>
    </row>
    <row r="58" spans="1:6" x14ac:dyDescent="0.35">
      <c r="A58">
        <v>57</v>
      </c>
      <c r="B58" s="3">
        <v>46284</v>
      </c>
      <c r="C58" t="s">
        <v>18</v>
      </c>
      <c r="D58">
        <v>1</v>
      </c>
      <c r="E58" s="2">
        <v>70</v>
      </c>
      <c r="F58">
        <f t="shared" si="0"/>
        <v>70</v>
      </c>
    </row>
    <row r="59" spans="1:6" x14ac:dyDescent="0.35">
      <c r="A59">
        <v>58</v>
      </c>
      <c r="B59" s="3">
        <v>46284</v>
      </c>
      <c r="C59" t="s">
        <v>14</v>
      </c>
      <c r="D59">
        <v>1</v>
      </c>
      <c r="E59" s="2">
        <v>60</v>
      </c>
      <c r="F59">
        <f t="shared" si="0"/>
        <v>60</v>
      </c>
    </row>
    <row r="60" spans="1:6" x14ac:dyDescent="0.35">
      <c r="A60">
        <v>59</v>
      </c>
      <c r="B60" s="3">
        <v>46284</v>
      </c>
      <c r="C60" t="s">
        <v>33</v>
      </c>
      <c r="D60">
        <v>1</v>
      </c>
      <c r="E60" s="2">
        <v>40</v>
      </c>
      <c r="F60">
        <f t="shared" si="0"/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9"/>
  <sheetViews>
    <sheetView topLeftCell="E1" workbookViewId="0">
      <pane ySplit="2" topLeftCell="A3" activePane="bottomLeft" state="frozen"/>
      <selection pane="bottomLeft" activeCell="L3" sqref="L3"/>
    </sheetView>
  </sheetViews>
  <sheetFormatPr defaultRowHeight="14.5" x14ac:dyDescent="0.35"/>
  <cols>
    <col min="1" max="1" width="8" customWidth="1"/>
    <col min="2" max="2" width="13" customWidth="1"/>
    <col min="3" max="3" width="32.36328125" bestFit="1" customWidth="1"/>
    <col min="4" max="4" width="32.36328125" customWidth="1"/>
    <col min="5" max="5" width="31" customWidth="1"/>
    <col min="6" max="6" width="6" customWidth="1"/>
    <col min="7" max="7" width="5.36328125" bestFit="1" customWidth="1"/>
    <col min="8" max="8" width="7.6328125" bestFit="1" customWidth="1"/>
    <col min="9" max="9" width="12.26953125" bestFit="1" customWidth="1"/>
    <col min="10" max="10" width="11.81640625" bestFit="1" customWidth="1"/>
    <col min="14" max="14" width="10.08984375" bestFit="1" customWidth="1"/>
    <col min="15" max="15" width="20.6328125" bestFit="1" customWidth="1"/>
    <col min="16" max="16" width="45" bestFit="1" customWidth="1"/>
    <col min="17" max="17" width="12.6328125" bestFit="1" customWidth="1"/>
    <col min="21" max="21" width="12.26953125" bestFit="1" customWidth="1"/>
    <col min="22" max="22" width="11.81640625" bestFit="1" customWidth="1"/>
  </cols>
  <sheetData>
    <row r="1" spans="1:23" x14ac:dyDescent="0.35">
      <c r="C1" t="s">
        <v>64</v>
      </c>
      <c r="N1" t="s">
        <v>65</v>
      </c>
    </row>
    <row r="2" spans="1:23" ht="43.5" x14ac:dyDescent="0.35">
      <c r="A2" s="1" t="s">
        <v>0</v>
      </c>
      <c r="B2" s="1" t="s">
        <v>1</v>
      </c>
      <c r="C2" s="1" t="s">
        <v>66</v>
      </c>
      <c r="D2" s="1" t="s">
        <v>67</v>
      </c>
      <c r="E2" s="1" t="s">
        <v>49</v>
      </c>
      <c r="F2" s="1" t="s">
        <v>4</v>
      </c>
      <c r="G2" s="1" t="s">
        <v>3</v>
      </c>
      <c r="H2" s="1" t="s">
        <v>5</v>
      </c>
      <c r="I2" s="4" t="s">
        <v>51</v>
      </c>
      <c r="J2" s="4" t="s">
        <v>52</v>
      </c>
      <c r="L2" s="12" t="s">
        <v>103</v>
      </c>
      <c r="M2" s="1" t="s">
        <v>0</v>
      </c>
      <c r="N2" s="1" t="s">
        <v>1</v>
      </c>
      <c r="O2" s="1" t="s">
        <v>66</v>
      </c>
      <c r="P2" s="1" t="s">
        <v>67</v>
      </c>
      <c r="Q2" s="1" t="s">
        <v>49</v>
      </c>
      <c r="R2" s="1" t="s">
        <v>4</v>
      </c>
      <c r="S2" s="1" t="s">
        <v>3</v>
      </c>
      <c r="T2" s="1" t="s">
        <v>5</v>
      </c>
      <c r="U2" s="8" t="s">
        <v>99</v>
      </c>
      <c r="V2" s="4" t="s">
        <v>100</v>
      </c>
    </row>
    <row r="3" spans="1:23" x14ac:dyDescent="0.35">
      <c r="A3">
        <v>1</v>
      </c>
      <c r="B3" s="3">
        <v>46248</v>
      </c>
      <c r="C3" s="2" t="s">
        <v>68</v>
      </c>
      <c r="D3" s="2" t="s">
        <v>69</v>
      </c>
      <c r="E3" s="2" t="s">
        <v>54</v>
      </c>
      <c r="F3">
        <v>180</v>
      </c>
      <c r="G3">
        <v>1</v>
      </c>
      <c r="H3">
        <f>F3*G3</f>
        <v>180</v>
      </c>
      <c r="I3">
        <v>0</v>
      </c>
      <c r="J3">
        <f>H3-I3</f>
        <v>180</v>
      </c>
      <c r="L3">
        <f>SUM(J3:J1048576,U3:U1048576)</f>
        <v>4173.6000000000004</v>
      </c>
      <c r="M3">
        <v>1</v>
      </c>
      <c r="N3" s="3">
        <v>46257</v>
      </c>
      <c r="O3" t="s">
        <v>85</v>
      </c>
      <c r="P3" t="s">
        <v>74</v>
      </c>
      <c r="T3">
        <v>188</v>
      </c>
      <c r="U3">
        <v>0</v>
      </c>
    </row>
    <row r="4" spans="1:23" x14ac:dyDescent="0.35">
      <c r="A4">
        <v>2</v>
      </c>
      <c r="B4" s="3">
        <v>46252</v>
      </c>
      <c r="C4" s="2" t="s">
        <v>70</v>
      </c>
      <c r="D4" s="2" t="s">
        <v>71</v>
      </c>
      <c r="E4" s="2" t="s">
        <v>53</v>
      </c>
      <c r="F4">
        <v>160</v>
      </c>
      <c r="G4">
        <v>1</v>
      </c>
      <c r="H4">
        <v>160</v>
      </c>
      <c r="I4">
        <v>0</v>
      </c>
      <c r="J4">
        <f>H4-I4</f>
        <v>160</v>
      </c>
      <c r="M4" s="5">
        <v>2</v>
      </c>
      <c r="N4" s="6">
        <v>46264</v>
      </c>
      <c r="O4" s="5" t="s">
        <v>86</v>
      </c>
      <c r="P4" s="5" t="s">
        <v>87</v>
      </c>
      <c r="Q4" s="5"/>
      <c r="R4" s="5"/>
      <c r="S4" s="5"/>
      <c r="T4" s="5">
        <v>189</v>
      </c>
      <c r="U4">
        <v>0</v>
      </c>
      <c r="W4" s="5" t="s">
        <v>88</v>
      </c>
    </row>
    <row r="5" spans="1:23" x14ac:dyDescent="0.35">
      <c r="A5">
        <v>3</v>
      </c>
      <c r="B5" s="3">
        <v>46256</v>
      </c>
      <c r="C5" s="2" t="s">
        <v>72</v>
      </c>
      <c r="D5" s="2" t="s">
        <v>73</v>
      </c>
      <c r="E5" s="2" t="s">
        <v>50</v>
      </c>
      <c r="F5">
        <v>160</v>
      </c>
      <c r="G5">
        <v>2</v>
      </c>
      <c r="H5">
        <f>F5*G5</f>
        <v>320</v>
      </c>
      <c r="I5">
        <v>50</v>
      </c>
      <c r="J5">
        <f>H5-I5</f>
        <v>270</v>
      </c>
      <c r="M5">
        <v>3</v>
      </c>
      <c r="N5" s="3">
        <v>46265</v>
      </c>
      <c r="O5" t="s">
        <v>89</v>
      </c>
      <c r="P5" s="7" t="s">
        <v>87</v>
      </c>
      <c r="T5">
        <v>348</v>
      </c>
      <c r="U5">
        <v>0</v>
      </c>
    </row>
    <row r="6" spans="1:23" x14ac:dyDescent="0.35">
      <c r="A6">
        <v>4</v>
      </c>
      <c r="B6" s="3">
        <v>46256</v>
      </c>
      <c r="C6" s="2" t="s">
        <v>84</v>
      </c>
      <c r="D6" s="2" t="s">
        <v>74</v>
      </c>
      <c r="E6" s="2" t="s">
        <v>50</v>
      </c>
      <c r="F6">
        <v>140</v>
      </c>
      <c r="G6">
        <v>2</v>
      </c>
      <c r="H6">
        <f>F6*G6</f>
        <v>280</v>
      </c>
      <c r="I6">
        <v>50</v>
      </c>
      <c r="J6">
        <f>H6-I6</f>
        <v>230</v>
      </c>
      <c r="M6">
        <v>4</v>
      </c>
      <c r="N6" s="3">
        <v>46268</v>
      </c>
      <c r="O6" t="s">
        <v>90</v>
      </c>
      <c r="P6" t="s">
        <v>91</v>
      </c>
      <c r="T6">
        <v>225</v>
      </c>
      <c r="U6">
        <v>0</v>
      </c>
    </row>
    <row r="7" spans="1:23" x14ac:dyDescent="0.35">
      <c r="A7" t="s">
        <v>93</v>
      </c>
      <c r="B7" s="3">
        <v>46256</v>
      </c>
      <c r="C7" s="2" t="s">
        <v>82</v>
      </c>
      <c r="D7" s="2" t="s">
        <v>83</v>
      </c>
      <c r="E7" s="2" t="s">
        <v>53</v>
      </c>
      <c r="F7">
        <v>160</v>
      </c>
      <c r="G7">
        <v>1</v>
      </c>
      <c r="H7">
        <f t="shared" ref="H7:H19" si="0">F7*G7</f>
        <v>160</v>
      </c>
      <c r="I7">
        <v>0</v>
      </c>
      <c r="J7">
        <f>H7-I7</f>
        <v>160</v>
      </c>
      <c r="M7">
        <v>5</v>
      </c>
      <c r="N7" s="3">
        <v>46269</v>
      </c>
      <c r="O7" t="s">
        <v>92</v>
      </c>
      <c r="P7" t="s">
        <v>94</v>
      </c>
      <c r="T7">
        <v>271</v>
      </c>
      <c r="U7">
        <v>0</v>
      </c>
    </row>
    <row r="8" spans="1:23" x14ac:dyDescent="0.35">
      <c r="A8">
        <v>6</v>
      </c>
      <c r="B8" s="3">
        <v>46257</v>
      </c>
      <c r="C8" s="2" t="s">
        <v>72</v>
      </c>
      <c r="D8" s="2" t="s">
        <v>63</v>
      </c>
      <c r="E8" s="2" t="s">
        <v>53</v>
      </c>
      <c r="F8">
        <v>180</v>
      </c>
      <c r="G8">
        <v>1</v>
      </c>
      <c r="H8">
        <f t="shared" si="0"/>
        <v>180</v>
      </c>
      <c r="I8">
        <v>0</v>
      </c>
      <c r="J8">
        <f t="shared" ref="J8:J19" si="1">H8-I8</f>
        <v>180</v>
      </c>
      <c r="M8">
        <v>6</v>
      </c>
      <c r="N8" s="3">
        <v>46272</v>
      </c>
      <c r="O8" t="s">
        <v>90</v>
      </c>
      <c r="P8" t="s">
        <v>91</v>
      </c>
      <c r="T8">
        <v>250</v>
      </c>
      <c r="U8" s="9">
        <v>258.51</v>
      </c>
      <c r="V8" s="10">
        <v>46281</v>
      </c>
    </row>
    <row r="9" spans="1:23" x14ac:dyDescent="0.35">
      <c r="A9">
        <v>7</v>
      </c>
      <c r="B9" s="3">
        <v>46258</v>
      </c>
      <c r="C9" s="2" t="s">
        <v>82</v>
      </c>
      <c r="D9" s="2" t="s">
        <v>63</v>
      </c>
      <c r="E9" s="2" t="s">
        <v>53</v>
      </c>
      <c r="F9">
        <v>180</v>
      </c>
      <c r="G9">
        <v>1</v>
      </c>
      <c r="H9">
        <f t="shared" si="0"/>
        <v>180</v>
      </c>
      <c r="I9">
        <v>0</v>
      </c>
      <c r="J9">
        <f t="shared" si="1"/>
        <v>180</v>
      </c>
      <c r="M9">
        <v>7</v>
      </c>
      <c r="N9" s="3">
        <v>46272</v>
      </c>
      <c r="O9" t="s">
        <v>95</v>
      </c>
      <c r="P9" t="s">
        <v>94</v>
      </c>
      <c r="T9">
        <v>271</v>
      </c>
      <c r="U9" s="9"/>
      <c r="V9" s="10"/>
    </row>
    <row r="10" spans="1:23" x14ac:dyDescent="0.35">
      <c r="A10">
        <v>8</v>
      </c>
      <c r="B10" s="3">
        <v>46262</v>
      </c>
      <c r="C10" s="2" t="s">
        <v>70</v>
      </c>
      <c r="D10" s="2" t="s">
        <v>63</v>
      </c>
      <c r="E10" s="2" t="s">
        <v>53</v>
      </c>
      <c r="F10">
        <v>180</v>
      </c>
      <c r="G10">
        <v>1</v>
      </c>
      <c r="H10">
        <f t="shared" si="0"/>
        <v>180</v>
      </c>
      <c r="I10">
        <v>0</v>
      </c>
      <c r="J10">
        <f t="shared" si="1"/>
        <v>180</v>
      </c>
      <c r="M10">
        <v>8</v>
      </c>
      <c r="N10" s="3">
        <v>46283</v>
      </c>
      <c r="O10" t="s">
        <v>90</v>
      </c>
      <c r="P10" t="s">
        <v>96</v>
      </c>
      <c r="T10">
        <v>345</v>
      </c>
      <c r="U10" s="9">
        <v>735.09</v>
      </c>
    </row>
    <row r="11" spans="1:23" x14ac:dyDescent="0.35">
      <c r="A11">
        <v>9</v>
      </c>
      <c r="B11" s="3">
        <v>46264</v>
      </c>
      <c r="C11" s="2" t="s">
        <v>80</v>
      </c>
      <c r="D11" s="2" t="s">
        <v>81</v>
      </c>
      <c r="E11" s="2" t="s">
        <v>53</v>
      </c>
      <c r="F11">
        <v>180</v>
      </c>
      <c r="G11">
        <v>1</v>
      </c>
      <c r="H11">
        <f t="shared" si="0"/>
        <v>180</v>
      </c>
      <c r="I11">
        <v>0</v>
      </c>
      <c r="J11">
        <f t="shared" si="1"/>
        <v>180</v>
      </c>
      <c r="M11">
        <v>9</v>
      </c>
      <c r="N11" s="3">
        <v>46283</v>
      </c>
      <c r="O11" t="s">
        <v>90</v>
      </c>
      <c r="P11" t="s">
        <v>97</v>
      </c>
      <c r="T11">
        <v>543</v>
      </c>
      <c r="U11" s="9"/>
    </row>
    <row r="12" spans="1:23" x14ac:dyDescent="0.35">
      <c r="A12">
        <v>10</v>
      </c>
      <c r="B12" s="3">
        <v>46264</v>
      </c>
      <c r="C12" s="2" t="s">
        <v>68</v>
      </c>
      <c r="D12" s="2" t="s">
        <v>63</v>
      </c>
      <c r="E12" s="2" t="s">
        <v>53</v>
      </c>
      <c r="F12">
        <v>180</v>
      </c>
      <c r="G12">
        <v>1</v>
      </c>
      <c r="H12">
        <f t="shared" si="0"/>
        <v>180</v>
      </c>
      <c r="I12">
        <v>0</v>
      </c>
      <c r="J12">
        <f t="shared" si="1"/>
        <v>180</v>
      </c>
      <c r="M12">
        <v>10</v>
      </c>
      <c r="N12" s="3">
        <v>46284</v>
      </c>
      <c r="O12" t="s">
        <v>98</v>
      </c>
      <c r="P12" t="s">
        <v>91</v>
      </c>
      <c r="T12">
        <v>250</v>
      </c>
      <c r="U12" s="9"/>
    </row>
    <row r="13" spans="1:23" x14ac:dyDescent="0.35">
      <c r="A13">
        <v>11</v>
      </c>
      <c r="B13" s="3">
        <v>46264</v>
      </c>
      <c r="C13" s="2" t="s">
        <v>77</v>
      </c>
      <c r="D13" s="2" t="s">
        <v>76</v>
      </c>
      <c r="E13" s="2" t="s">
        <v>53</v>
      </c>
      <c r="F13">
        <v>180</v>
      </c>
      <c r="G13">
        <v>1</v>
      </c>
      <c r="H13">
        <f t="shared" si="0"/>
        <v>180</v>
      </c>
      <c r="I13">
        <v>0</v>
      </c>
      <c r="J13">
        <f t="shared" si="1"/>
        <v>180</v>
      </c>
      <c r="M13">
        <v>11</v>
      </c>
    </row>
    <row r="14" spans="1:23" x14ac:dyDescent="0.35">
      <c r="A14">
        <v>12</v>
      </c>
      <c r="B14" s="3">
        <v>46266</v>
      </c>
      <c r="C14" s="2" t="s">
        <v>68</v>
      </c>
      <c r="D14" t="s">
        <v>63</v>
      </c>
      <c r="E14" s="2" t="s">
        <v>53</v>
      </c>
      <c r="F14">
        <v>180</v>
      </c>
      <c r="G14">
        <v>1</v>
      </c>
      <c r="H14">
        <f t="shared" si="0"/>
        <v>180</v>
      </c>
      <c r="I14">
        <v>0</v>
      </c>
      <c r="J14">
        <f t="shared" si="1"/>
        <v>180</v>
      </c>
      <c r="M14">
        <v>12</v>
      </c>
    </row>
    <row r="15" spans="1:23" x14ac:dyDescent="0.35">
      <c r="A15">
        <v>13</v>
      </c>
      <c r="B15" s="3">
        <v>46269</v>
      </c>
      <c r="C15" s="2" t="s">
        <v>68</v>
      </c>
      <c r="D15" t="s">
        <v>73</v>
      </c>
      <c r="E15" s="2" t="s">
        <v>53</v>
      </c>
      <c r="F15">
        <v>160</v>
      </c>
      <c r="G15">
        <v>1</v>
      </c>
      <c r="H15">
        <f t="shared" si="0"/>
        <v>160</v>
      </c>
      <c r="I15">
        <v>0</v>
      </c>
      <c r="J15">
        <f t="shared" si="1"/>
        <v>160</v>
      </c>
      <c r="M15">
        <v>13</v>
      </c>
    </row>
    <row r="16" spans="1:23" x14ac:dyDescent="0.35">
      <c r="A16">
        <v>14</v>
      </c>
      <c r="B16" s="3">
        <v>46272</v>
      </c>
      <c r="C16" s="2" t="s">
        <v>75</v>
      </c>
      <c r="D16" s="2" t="s">
        <v>74</v>
      </c>
      <c r="E16" s="2" t="s">
        <v>53</v>
      </c>
      <c r="F16">
        <v>140</v>
      </c>
      <c r="G16">
        <v>1</v>
      </c>
      <c r="H16">
        <f t="shared" si="0"/>
        <v>140</v>
      </c>
      <c r="I16">
        <v>0</v>
      </c>
      <c r="J16">
        <f t="shared" si="1"/>
        <v>140</v>
      </c>
      <c r="M16">
        <v>14</v>
      </c>
    </row>
    <row r="17" spans="1:10" x14ac:dyDescent="0.35">
      <c r="A17">
        <v>15</v>
      </c>
      <c r="B17" s="3">
        <v>46272</v>
      </c>
      <c r="C17" s="2" t="s">
        <v>78</v>
      </c>
      <c r="D17" s="2" t="s">
        <v>76</v>
      </c>
      <c r="E17" s="2" t="s">
        <v>53</v>
      </c>
      <c r="F17">
        <v>180</v>
      </c>
      <c r="G17">
        <v>1</v>
      </c>
      <c r="H17">
        <f t="shared" si="0"/>
        <v>180</v>
      </c>
      <c r="I17">
        <v>0</v>
      </c>
      <c r="J17">
        <f t="shared" si="1"/>
        <v>180</v>
      </c>
    </row>
    <row r="18" spans="1:10" x14ac:dyDescent="0.35">
      <c r="A18">
        <v>16</v>
      </c>
      <c r="B18" s="3">
        <v>46272</v>
      </c>
      <c r="C18" s="2" t="s">
        <v>79</v>
      </c>
      <c r="D18" t="s">
        <v>63</v>
      </c>
      <c r="E18" s="2" t="s">
        <v>50</v>
      </c>
      <c r="F18">
        <v>180</v>
      </c>
      <c r="G18">
        <v>1</v>
      </c>
      <c r="H18">
        <f t="shared" si="0"/>
        <v>180</v>
      </c>
      <c r="I18">
        <v>50</v>
      </c>
      <c r="J18">
        <f t="shared" si="1"/>
        <v>130</v>
      </c>
    </row>
    <row r="19" spans="1:10" x14ac:dyDescent="0.35">
      <c r="A19">
        <v>17</v>
      </c>
      <c r="B19" s="3">
        <v>46283</v>
      </c>
      <c r="C19" s="2" t="s">
        <v>70</v>
      </c>
      <c r="D19" t="s">
        <v>63</v>
      </c>
      <c r="E19" s="2" t="s">
        <v>50</v>
      </c>
      <c r="F19">
        <v>180</v>
      </c>
      <c r="G19">
        <v>2</v>
      </c>
      <c r="H19">
        <f t="shared" si="0"/>
        <v>360</v>
      </c>
      <c r="I19">
        <v>50</v>
      </c>
      <c r="J19">
        <f t="shared" si="1"/>
        <v>310</v>
      </c>
    </row>
  </sheetData>
  <autoFilter ref="A2:J19" xr:uid="{00000000-0001-0000-0100-000000000000}"/>
  <mergeCells count="3">
    <mergeCell ref="U8:U9"/>
    <mergeCell ref="V8:V9"/>
    <mergeCell ref="U10:U12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tabSelected="1" workbookViewId="0">
      <pane ySplit="1" topLeftCell="A2" activePane="bottomLeft" state="frozen"/>
      <selection pane="bottomLeft" activeCell="D11" sqref="D11"/>
    </sheetView>
  </sheetViews>
  <sheetFormatPr defaultRowHeight="14.5" x14ac:dyDescent="0.35"/>
  <cols>
    <col min="1" max="1" width="45" customWidth="1"/>
    <col min="2" max="2" width="8.81640625" bestFit="1" customWidth="1"/>
    <col min="4" max="4" width="11.90625" bestFit="1" customWidth="1"/>
  </cols>
  <sheetData>
    <row r="1" spans="1:5" x14ac:dyDescent="0.35">
      <c r="A1" s="1" t="s">
        <v>40</v>
      </c>
      <c r="B1" s="1" t="s">
        <v>5</v>
      </c>
    </row>
    <row r="2" spans="1:5" x14ac:dyDescent="0.35">
      <c r="A2" t="s">
        <v>41</v>
      </c>
      <c r="B2" s="2">
        <v>8140</v>
      </c>
      <c r="D2" t="s">
        <v>104</v>
      </c>
      <c r="E2">
        <f>Purchases!G2</f>
        <v>9651</v>
      </c>
    </row>
    <row r="3" spans="1:5" x14ac:dyDescent="0.35">
      <c r="A3" t="s">
        <v>42</v>
      </c>
      <c r="B3" s="2">
        <v>7678</v>
      </c>
      <c r="D3" t="s">
        <v>105</v>
      </c>
      <c r="E3">
        <f>Sales!L3</f>
        <v>4173.6000000000004</v>
      </c>
    </row>
    <row r="4" spans="1:5" x14ac:dyDescent="0.35">
      <c r="A4" t="s">
        <v>43</v>
      </c>
      <c r="B4" s="2">
        <v>702</v>
      </c>
      <c r="D4" t="s">
        <v>106</v>
      </c>
      <c r="E4">
        <f>E2-E3</f>
        <v>5477.4</v>
      </c>
    </row>
    <row r="5" spans="1:5" x14ac:dyDescent="0.35">
      <c r="A5" t="s">
        <v>44</v>
      </c>
      <c r="B5" s="2">
        <v>8842</v>
      </c>
    </row>
    <row r="6" spans="1:5" x14ac:dyDescent="0.35">
      <c r="A6" t="s">
        <v>45</v>
      </c>
      <c r="B6" s="2">
        <v>1900</v>
      </c>
    </row>
    <row r="7" spans="1:5" x14ac:dyDescent="0.35">
      <c r="A7" t="s">
        <v>46</v>
      </c>
      <c r="B7" s="2">
        <v>2080</v>
      </c>
    </row>
    <row r="8" spans="1:5" x14ac:dyDescent="0.35">
      <c r="A8" t="s">
        <v>47</v>
      </c>
      <c r="B8" s="2">
        <v>12.5</v>
      </c>
    </row>
    <row r="9" spans="1:5" x14ac:dyDescent="0.35">
      <c r="A9" t="s">
        <v>48</v>
      </c>
      <c r="B9" s="2">
        <v>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Purchases</vt:lpstr>
      <vt:lpstr>Sales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Soumili Das</cp:lastModifiedBy>
  <dcterms:created xsi:type="dcterms:W3CDTF">2026-08-31T18:02:32Z</dcterms:created>
  <dcterms:modified xsi:type="dcterms:W3CDTF">2026-09-20T08:47:18Z</dcterms:modified>
</cp:coreProperties>
</file>